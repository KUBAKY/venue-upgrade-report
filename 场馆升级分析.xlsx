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<sst xmlns="http://schemas.openxmlformats.org/spreadsheetml/2006/main" count="112" uniqueCount="86">
  <si>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场馆扩建改造</t>
  </si>
  <si>
    <t>装修预算</t>
  </si>
  <si>
    <t>设备采购（可以征求会员意见）</t>
  </si>
  <si>
    <t>序号</t>
  </si>
  <si>
    <t>项目</t>
  </si>
  <si>
    <t>预算金额</t>
  </si>
  <si>
    <t>施工优先级（0级最优先）</t>
  </si>
  <si>
    <t>器械名称</t>
  </si>
  <si>
    <t>镜子</t>
  </si>
  <si>
    <t>臀推</t>
  </si>
  <si>
    <t>玻璃</t>
  </si>
  <si>
    <t>倒蹬</t>
  </si>
  <si>
    <t>镜拖木板</t>
  </si>
  <si>
    <t>深蹲</t>
  </si>
  <si>
    <t>开门洞</t>
  </si>
  <si>
    <t>腿屈伸弯举一体固定器械</t>
  </si>
  <si>
    <t>电路改造</t>
  </si>
  <si>
    <t>直臂夹胸反飞鸟一体固定器械</t>
  </si>
  <si>
    <t>地胶垫</t>
  </si>
  <si>
    <t>下拉划船一体固定器械</t>
  </si>
  <si>
    <t>空调</t>
  </si>
  <si>
    <t>多把位坐姿高位下拉</t>
  </si>
  <si>
    <t>高吧台桌</t>
  </si>
  <si>
    <t>多把位坐姿低位划船</t>
  </si>
  <si>
    <t>招牌灯字</t>
  </si>
  <si>
    <t>上斜推胸</t>
  </si>
  <si>
    <t>玻璃广告贴纸</t>
  </si>
  <si>
    <t>推肩</t>
  </si>
  <si>
    <t>卧式磁控车</t>
  </si>
  <si>
    <t>体能-滑雪机</t>
  </si>
  <si>
    <t>体能-划船机</t>
  </si>
  <si>
    <t>传统哑铃（12.5-35公斤）</t>
  </si>
  <si>
    <t>其他设备</t>
  </si>
  <si>
    <t>装修优先级说明</t>
  </si>
  <si>
    <t>采购优先级说明</t>
  </si>
  <si>
    <t>0级优先</t>
  </si>
  <si>
    <t>确保场地空间可用</t>
  </si>
  <si>
    <t>必要功能性补充设备和会员建议添置（长周期预付会员）</t>
  </si>
  <si>
    <t>1级优先</t>
  </si>
  <si>
    <t>提高场地空间舒适感</t>
  </si>
  <si>
    <t>丰富场地空间，提高训练设备可玩性体验感</t>
  </si>
  <si>
    <t>2级优先</t>
  </si>
  <si>
    <t>进一步提高空间功能</t>
  </si>
  <si>
    <t>进一步优化场馆空间，更新现有设备</t>
  </si>
  <si>
    <t>日期节点</t>
  </si>
  <si>
    <t>项目推进</t>
  </si>
  <si>
    <t>说明</t>
  </si>
  <si>
    <t>采购推进</t>
  </si>
  <si>
    <t>装修的0-1级完成</t>
  </si>
  <si>
    <t>4项0级，3项1级</t>
  </si>
  <si>
    <t>采购的0级完成</t>
  </si>
  <si>
    <t>无</t>
  </si>
  <si>
    <t>装修的2级优先项目</t>
  </si>
  <si>
    <t>暂无必要项目</t>
  </si>
  <si>
    <t>采购的1级推进</t>
  </si>
  <si>
    <t>边看边买，有合适的就买</t>
  </si>
  <si>
    <t>新合约扩建面积后，免租期计算从2025年2月22日-2025年7月22日；原场地5个月免租期，扩建部分场地7个月免租期。</t>
  </si>
  <si>
    <t>投资策略对比</t>
  </si>
  <si>
    <t>原店改造经营</t>
  </si>
  <si>
    <t>扩店经营</t>
  </si>
  <si>
    <t>搬店经营（暂不考虑）</t>
  </si>
  <si>
    <t>撤店结算（原投资成本50%回收）</t>
  </si>
  <si>
    <t>免租</t>
  </si>
  <si>
    <t>免租期</t>
  </si>
  <si>
    <t>5个月</t>
  </si>
  <si>
    <t>押金补充</t>
  </si>
  <si>
    <t>投资</t>
  </si>
  <si>
    <t>租金</t>
  </si>
  <si>
    <t>7650/月</t>
  </si>
  <si>
    <t>15000/月</t>
  </si>
  <si>
    <t>183600/24月</t>
  </si>
  <si>
    <t>360000/24月</t>
  </si>
  <si>
    <t>优点</t>
  </si>
  <si>
    <t>投资小、经营成本小，投资回收保障高，经营灵活性高。</t>
  </si>
  <si>
    <t>空间大，可玩性体验提升，招聘难度降低，新会员成交门槛降低</t>
  </si>
  <si>
    <t>缺点</t>
  </si>
  <si>
    <t>空间小，招聘和会员开发难度高，老会员流失风险高</t>
  </si>
  <si>
    <t>投资大、经营成本高、经营风险大</t>
  </si>
  <si>
    <t>综合以上，最保险的方案是“原店改造经营”，但是发展潜力受限。
相对激进的方案是，扩店经营，签约保留场地的转租权限，前期投资2.5万元+8400元押金补充，2026年3月份-7月份根据实际经营状况进一步追加投资；免租期结束前7月进行最终的方案评价，如果不达预期，可以缩减场地改成“原店改造经营”方案，将多出的场地整体或分割出租或该做什么他用，以将经营风险降到最低。</t>
  </si>
  <si>
    <t>扩张改建后的经营挑战</t>
  </si>
  <si>
    <t>营销拉新</t>
  </si>
  <si>
    <t>小红薯/抖音/视频号“短视频”+“本地生活团购”+“直播”</t>
  </si>
  <si>
    <t>服务留旧</t>
  </si>
  <si>
    <t>形象+流程+工具</t>
  </si>
  <si>
    <t>薪酬结构：高提成+低课时费但高资源激励权重</t>
  </si>
  <si>
    <t>对于教练来讲，重销售+上课也是为了销售的目的性很重要。教练绝对不能成为会员心里值得信赖的人。。。老板才应该是！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</si>
</sst>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72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5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workbookViewId="0">
      <selection activeCell="A1" sqref="$A1:$XFD1048576"/>
    </sheetView>
  </sheetViews>
  <sheetFormatPr defaultColWidth="9.23076923076923" defaultRowHeight="16.8" outlineLevelCol="7"/>
  <cols>
    <col min="1" max="1" width="10.3076923076923" customWidth="1"/>
    <col min="2" max="2" width="21.1538461538462" customWidth="1"/>
    <col min="3" max="3" width="10.3076923076923" customWidth="1"/>
    <col min="4" max="4" width="28.3846153846154" customWidth="1"/>
    <col min="5" max="5" width="10.3076923076923" customWidth="1"/>
    <col min="6" max="6" width="32.1538461538462" customWidth="1"/>
    <col min="7" max="7" width="10.3076923076923" customWidth="1"/>
    <col min="8" max="8" width="28.3846153846154" customWidth="1"/>
  </cols>
  <sheetData>
    <row r="1" ht="32.35" spans="1:8">
      <c r="A1" s="1" t="s">
        <v>0</v>
      </c>
      <c r="B1" s="2"/>
      <c r="C1" s="2"/>
      <c r="D1" s="2"/>
      <c r="E1" s="2"/>
      <c r="F1" s="2"/>
      <c r="G1" s="2"/>
      <c r="H1" s="29"/>
    </row>
    <row r="2" spans="1:8">
      <c r="A2" s="3" t="s">
        <v>1</v>
      </c>
      <c r="B2" s="4"/>
      <c r="C2" s="4"/>
      <c r="D2" s="5">
        <f>SUM(C4:C19)</f>
        <v>17300</v>
      </c>
      <c r="E2" s="30" t="s">
        <v>2</v>
      </c>
      <c r="F2" s="31"/>
      <c r="G2" s="31"/>
      <c r="H2" s="5">
        <f>SUM(G4:G19)</f>
        <v>42000</v>
      </c>
    </row>
    <row r="3" spans="1:8">
      <c r="A3" s="6" t="s">
        <v>3</v>
      </c>
      <c r="B3" s="7" t="s">
        <v>4</v>
      </c>
      <c r="C3" s="7" t="s">
        <v>5</v>
      </c>
      <c r="D3" s="8" t="s">
        <v>6</v>
      </c>
      <c r="E3" s="6" t="s">
        <v>3</v>
      </c>
      <c r="F3" s="7" t="s">
        <v>7</v>
      </c>
      <c r="G3" s="7" t="s">
        <v>5</v>
      </c>
      <c r="H3" s="8" t="s">
        <v>6</v>
      </c>
    </row>
    <row r="4" spans="1:8">
      <c r="A4" s="6">
        <v>1</v>
      </c>
      <c r="B4" s="7" t="s">
        <v>8</v>
      </c>
      <c r="C4" s="7">
        <v>4000</v>
      </c>
      <c r="D4" s="8">
        <v>1</v>
      </c>
      <c r="E4" s="6">
        <v>1</v>
      </c>
      <c r="F4" s="7" t="s">
        <v>9</v>
      </c>
      <c r="G4" s="7">
        <v>3000</v>
      </c>
      <c r="H4" s="8">
        <v>1</v>
      </c>
    </row>
    <row r="5" spans="1:8">
      <c r="A5" s="6">
        <v>2</v>
      </c>
      <c r="B5" s="7" t="s">
        <v>10</v>
      </c>
      <c r="C5" s="7">
        <v>800</v>
      </c>
      <c r="D5" s="8">
        <v>1</v>
      </c>
      <c r="E5" s="6">
        <v>2</v>
      </c>
      <c r="F5" s="7" t="s">
        <v>11</v>
      </c>
      <c r="G5" s="7">
        <v>3000</v>
      </c>
      <c r="H5" s="9">
        <v>0</v>
      </c>
    </row>
    <row r="6" spans="1:8">
      <c r="A6" s="6">
        <v>3</v>
      </c>
      <c r="B6" s="7" t="s">
        <v>12</v>
      </c>
      <c r="C6" s="7">
        <v>500</v>
      </c>
      <c r="D6" s="8">
        <v>1</v>
      </c>
      <c r="E6" s="6">
        <v>3</v>
      </c>
      <c r="F6" s="7" t="s">
        <v>13</v>
      </c>
      <c r="G6" s="7">
        <v>3000</v>
      </c>
      <c r="H6" s="8">
        <v>1</v>
      </c>
    </row>
    <row r="7" spans="1:8">
      <c r="A7" s="6">
        <v>4</v>
      </c>
      <c r="B7" s="7" t="s">
        <v>14</v>
      </c>
      <c r="C7" s="7">
        <v>1000</v>
      </c>
      <c r="D7" s="9">
        <v>0</v>
      </c>
      <c r="E7" s="6">
        <v>4</v>
      </c>
      <c r="F7" s="7" t="s">
        <v>15</v>
      </c>
      <c r="G7" s="7">
        <v>3000</v>
      </c>
      <c r="H7" s="9">
        <v>0</v>
      </c>
    </row>
    <row r="8" spans="1:8">
      <c r="A8" s="6">
        <v>5</v>
      </c>
      <c r="B8" s="7" t="s">
        <v>16</v>
      </c>
      <c r="C8" s="7">
        <v>500</v>
      </c>
      <c r="D8" s="9">
        <v>0</v>
      </c>
      <c r="E8" s="6">
        <v>5</v>
      </c>
      <c r="F8" s="7" t="s">
        <v>17</v>
      </c>
      <c r="G8" s="7">
        <v>3000</v>
      </c>
      <c r="H8" s="9">
        <v>0</v>
      </c>
    </row>
    <row r="9" spans="1:8">
      <c r="A9" s="6">
        <v>6</v>
      </c>
      <c r="B9" s="7" t="s">
        <v>18</v>
      </c>
      <c r="C9" s="7">
        <v>3000</v>
      </c>
      <c r="D9" s="8">
        <v>2</v>
      </c>
      <c r="E9" s="6">
        <v>6</v>
      </c>
      <c r="F9" s="7" t="s">
        <v>19</v>
      </c>
      <c r="G9" s="7">
        <v>3000</v>
      </c>
      <c r="H9" s="8">
        <v>1</v>
      </c>
    </row>
    <row r="10" spans="1:8">
      <c r="A10" s="6">
        <v>7</v>
      </c>
      <c r="B10" s="7" t="s">
        <v>20</v>
      </c>
      <c r="C10" s="7">
        <v>3500</v>
      </c>
      <c r="D10" s="9">
        <v>0</v>
      </c>
      <c r="E10" s="6">
        <v>7</v>
      </c>
      <c r="F10" s="7" t="s">
        <v>21</v>
      </c>
      <c r="G10" s="7">
        <v>3000</v>
      </c>
      <c r="H10" s="8">
        <v>1</v>
      </c>
    </row>
    <row r="11" spans="1:8">
      <c r="A11" s="6">
        <v>8</v>
      </c>
      <c r="B11" s="7" t="s">
        <v>22</v>
      </c>
      <c r="C11" s="7">
        <v>1000</v>
      </c>
      <c r="D11" s="8">
        <v>2</v>
      </c>
      <c r="E11" s="6">
        <v>8</v>
      </c>
      <c r="F11" s="7" t="s">
        <v>23</v>
      </c>
      <c r="G11" s="7">
        <v>3000</v>
      </c>
      <c r="H11" s="9">
        <v>0</v>
      </c>
    </row>
    <row r="12" spans="1:8">
      <c r="A12" s="6">
        <v>9</v>
      </c>
      <c r="B12" s="7" t="s">
        <v>24</v>
      </c>
      <c r="C12" s="7">
        <v>2000</v>
      </c>
      <c r="D12" s="9">
        <v>0</v>
      </c>
      <c r="E12" s="6">
        <v>9</v>
      </c>
      <c r="F12" s="7" t="s">
        <v>25</v>
      </c>
      <c r="G12" s="7">
        <v>3000</v>
      </c>
      <c r="H12" s="8">
        <v>1</v>
      </c>
    </row>
    <row r="13" spans="1:8">
      <c r="A13" s="6">
        <v>10</v>
      </c>
      <c r="B13" s="7" t="s">
        <v>26</v>
      </c>
      <c r="C13" s="7">
        <v>1000</v>
      </c>
      <c r="D13" s="9">
        <v>0</v>
      </c>
      <c r="E13" s="6">
        <v>10</v>
      </c>
      <c r="F13" s="7" t="s">
        <v>27</v>
      </c>
      <c r="G13" s="7">
        <v>3000</v>
      </c>
      <c r="H13" s="8">
        <v>1</v>
      </c>
    </row>
    <row r="14" spans="1:8">
      <c r="A14" s="6"/>
      <c r="B14" s="7"/>
      <c r="C14" s="7"/>
      <c r="D14" s="8"/>
      <c r="E14" s="6">
        <v>11</v>
      </c>
      <c r="F14" s="7" t="s">
        <v>28</v>
      </c>
      <c r="G14" s="7">
        <v>3000</v>
      </c>
      <c r="H14" s="8">
        <v>1</v>
      </c>
    </row>
    <row r="15" spans="1:8">
      <c r="A15" s="6"/>
      <c r="B15" s="7"/>
      <c r="C15" s="7"/>
      <c r="D15" s="8"/>
      <c r="E15" s="6">
        <v>12</v>
      </c>
      <c r="F15" s="7" t="s">
        <v>29</v>
      </c>
      <c r="G15" s="7">
        <v>3000</v>
      </c>
      <c r="H15" s="8">
        <v>1</v>
      </c>
    </row>
    <row r="16" spans="1:8">
      <c r="A16" s="6"/>
      <c r="B16" s="7"/>
      <c r="C16" s="7"/>
      <c r="D16" s="8"/>
      <c r="E16" s="6">
        <v>13</v>
      </c>
      <c r="F16" s="7" t="s">
        <v>30</v>
      </c>
      <c r="G16" s="7">
        <v>3000</v>
      </c>
      <c r="H16" s="8">
        <v>1</v>
      </c>
    </row>
    <row r="17" spans="1:8">
      <c r="A17" s="6"/>
      <c r="B17" s="7"/>
      <c r="C17" s="7"/>
      <c r="D17" s="8"/>
      <c r="E17" s="6">
        <v>14</v>
      </c>
      <c r="F17" s="7" t="s">
        <v>31</v>
      </c>
      <c r="G17" s="7">
        <v>3000</v>
      </c>
      <c r="H17" s="8">
        <v>2</v>
      </c>
    </row>
    <row r="18" spans="1:8">
      <c r="A18" s="6"/>
      <c r="B18" s="7"/>
      <c r="C18" s="7"/>
      <c r="D18" s="8"/>
      <c r="E18" s="6">
        <v>15</v>
      </c>
      <c r="F18" s="7" t="s">
        <v>32</v>
      </c>
      <c r="G18" s="7"/>
      <c r="H18" s="8"/>
    </row>
    <row r="19" ht="17.55" spans="1:8">
      <c r="A19" s="10"/>
      <c r="B19" s="11"/>
      <c r="C19" s="11"/>
      <c r="D19" s="12"/>
      <c r="E19" s="10"/>
      <c r="F19" s="11"/>
      <c r="G19" s="11"/>
      <c r="H19" s="12"/>
    </row>
    <row r="20" spans="1:8">
      <c r="A20" s="3" t="s">
        <v>33</v>
      </c>
      <c r="B20" s="4"/>
      <c r="C20" s="4"/>
      <c r="D20" s="5"/>
      <c r="E20" s="3" t="s">
        <v>34</v>
      </c>
      <c r="F20" s="4"/>
      <c r="G20" s="4"/>
      <c r="H20" s="5"/>
    </row>
    <row r="21" spans="1:8">
      <c r="A21" s="6" t="s">
        <v>35</v>
      </c>
      <c r="B21" s="7" t="s">
        <v>36</v>
      </c>
      <c r="C21" s="7"/>
      <c r="D21" s="8"/>
      <c r="E21" s="6" t="s">
        <v>35</v>
      </c>
      <c r="F21" s="7" t="s">
        <v>37</v>
      </c>
      <c r="G21" s="7"/>
      <c r="H21" s="8"/>
    </row>
    <row r="22" spans="1:8">
      <c r="A22" s="6" t="s">
        <v>38</v>
      </c>
      <c r="B22" s="7" t="s">
        <v>39</v>
      </c>
      <c r="C22" s="7"/>
      <c r="D22" s="8"/>
      <c r="E22" s="6" t="s">
        <v>38</v>
      </c>
      <c r="F22" s="7" t="s">
        <v>40</v>
      </c>
      <c r="G22" s="7"/>
      <c r="H22" s="8"/>
    </row>
    <row r="23" ht="17.55" spans="1:8">
      <c r="A23" s="10" t="s">
        <v>41</v>
      </c>
      <c r="B23" s="11" t="s">
        <v>42</v>
      </c>
      <c r="C23" s="11"/>
      <c r="D23" s="12"/>
      <c r="E23" s="10" t="s">
        <v>41</v>
      </c>
      <c r="F23" s="11" t="s">
        <v>43</v>
      </c>
      <c r="G23" s="11"/>
      <c r="H23" s="12"/>
    </row>
    <row r="24" spans="1:8">
      <c r="A24" s="3" t="s">
        <v>44</v>
      </c>
      <c r="B24" s="4" t="s">
        <v>45</v>
      </c>
      <c r="C24" s="4" t="s">
        <v>5</v>
      </c>
      <c r="D24" s="5" t="s">
        <v>46</v>
      </c>
      <c r="E24" s="3" t="s">
        <v>44</v>
      </c>
      <c r="F24" s="4" t="s">
        <v>47</v>
      </c>
      <c r="G24" s="4" t="s">
        <v>5</v>
      </c>
      <c r="H24" s="5" t="s">
        <v>46</v>
      </c>
    </row>
    <row r="25" spans="1:8">
      <c r="A25" s="6">
        <v>202501</v>
      </c>
      <c r="B25" s="7" t="s">
        <v>48</v>
      </c>
      <c r="C25" s="7">
        <f>SUM(C7:C8,C10,C4,C5,C6,C12,C13)</f>
        <v>13300</v>
      </c>
      <c r="D25" s="8" t="s">
        <v>49</v>
      </c>
      <c r="E25" s="6">
        <v>202501</v>
      </c>
      <c r="F25" s="7" t="s">
        <v>50</v>
      </c>
      <c r="G25" s="7">
        <v>12000</v>
      </c>
      <c r="H25" s="8"/>
    </row>
    <row r="26" spans="1:8">
      <c r="A26" s="6">
        <v>202502</v>
      </c>
      <c r="B26" s="7" t="s">
        <v>51</v>
      </c>
      <c r="C26" s="7"/>
      <c r="D26" s="8" t="s">
        <v>51</v>
      </c>
      <c r="E26" s="6">
        <v>202502</v>
      </c>
      <c r="F26" s="7"/>
      <c r="G26" s="7"/>
      <c r="H26" s="8"/>
    </row>
    <row r="27" spans="1:8">
      <c r="A27" s="6">
        <v>202503</v>
      </c>
      <c r="B27" s="7" t="s">
        <v>52</v>
      </c>
      <c r="C27" s="7"/>
      <c r="D27" s="8" t="s">
        <v>53</v>
      </c>
      <c r="E27" s="6">
        <v>202503</v>
      </c>
      <c r="F27" s="7" t="s">
        <v>54</v>
      </c>
      <c r="G27" s="7"/>
      <c r="H27" s="8" t="s">
        <v>55</v>
      </c>
    </row>
    <row r="28" spans="1:8">
      <c r="A28" s="6">
        <v>202504</v>
      </c>
      <c r="B28" s="7"/>
      <c r="C28" s="7"/>
      <c r="D28" s="8"/>
      <c r="E28" s="6">
        <v>202504</v>
      </c>
      <c r="F28" s="7" t="s">
        <v>54</v>
      </c>
      <c r="G28" s="7"/>
      <c r="H28" s="8" t="s">
        <v>55</v>
      </c>
    </row>
    <row r="29" spans="1:8">
      <c r="A29" s="6">
        <v>202505</v>
      </c>
      <c r="B29" s="7"/>
      <c r="C29" s="7"/>
      <c r="D29" s="8"/>
      <c r="E29" s="6">
        <v>202505</v>
      </c>
      <c r="F29" s="7" t="s">
        <v>54</v>
      </c>
      <c r="G29" s="7"/>
      <c r="H29" s="8" t="s">
        <v>55</v>
      </c>
    </row>
    <row r="30" spans="1:8">
      <c r="A30" s="6">
        <v>202506</v>
      </c>
      <c r="B30" s="7"/>
      <c r="C30" s="7"/>
      <c r="D30" s="8"/>
      <c r="E30" s="6">
        <v>202506</v>
      </c>
      <c r="F30" s="7"/>
      <c r="G30" s="7"/>
      <c r="H30" s="8"/>
    </row>
    <row r="31" ht="17.55" spans="1:8">
      <c r="A31" s="10">
        <v>202507</v>
      </c>
      <c r="B31" s="11"/>
      <c r="C31" s="11"/>
      <c r="D31" s="12"/>
      <c r="E31" s="10">
        <v>202507</v>
      </c>
      <c r="F31" s="11"/>
      <c r="G31" s="11"/>
      <c r="H31" s="12"/>
    </row>
    <row r="32" spans="1:8">
      <c r="A32" s="13" t="s">
        <v>56</v>
      </c>
      <c r="B32" s="14"/>
      <c r="C32" s="14"/>
      <c r="D32" s="14"/>
      <c r="E32" s="14"/>
      <c r="F32" s="14"/>
      <c r="G32" s="14"/>
      <c r="H32" s="14"/>
    </row>
    <row r="33" ht="17.55" spans="1:8">
      <c r="A33" s="14"/>
      <c r="B33" s="14"/>
      <c r="C33" s="14"/>
      <c r="D33" s="14"/>
      <c r="E33" s="14"/>
      <c r="F33" s="14"/>
      <c r="G33" s="14"/>
      <c r="H33" s="14"/>
    </row>
    <row r="34" spans="1:8">
      <c r="A34" s="3" t="s">
        <v>57</v>
      </c>
      <c r="B34" s="4"/>
      <c r="C34" s="4"/>
      <c r="D34" s="4"/>
      <c r="E34" s="4"/>
      <c r="F34" s="4"/>
      <c r="G34" s="4"/>
      <c r="H34" s="5"/>
    </row>
    <row r="35" ht="17.55" spans="1:8">
      <c r="A35" s="10"/>
      <c r="B35" s="11"/>
      <c r="C35" s="11"/>
      <c r="D35" s="11"/>
      <c r="E35" s="11"/>
      <c r="F35" s="11"/>
      <c r="G35" s="11"/>
      <c r="H35" s="12"/>
    </row>
    <row r="36" spans="1:8">
      <c r="A36" s="3" t="s">
        <v>58</v>
      </c>
      <c r="B36" s="5"/>
      <c r="C36" s="3" t="s">
        <v>59</v>
      </c>
      <c r="D36" s="5"/>
      <c r="E36" s="3" t="s">
        <v>60</v>
      </c>
      <c r="F36" s="5"/>
      <c r="G36" s="3" t="s">
        <v>61</v>
      </c>
      <c r="H36" s="5"/>
    </row>
    <row r="37" spans="1:8">
      <c r="A37" s="6" t="s">
        <v>62</v>
      </c>
      <c r="B37" s="8">
        <v>0</v>
      </c>
      <c r="C37" s="6" t="s">
        <v>63</v>
      </c>
      <c r="D37" s="8" t="s">
        <v>64</v>
      </c>
      <c r="E37" s="6" t="s">
        <v>62</v>
      </c>
      <c r="F37" s="8"/>
      <c r="G37" s="6"/>
      <c r="H37" s="8"/>
    </row>
    <row r="38" spans="1:8">
      <c r="A38" s="6" t="s">
        <v>65</v>
      </c>
      <c r="B38" s="8">
        <v>-6300</v>
      </c>
      <c r="C38" s="6" t="s">
        <v>65</v>
      </c>
      <c r="D38" s="8">
        <v>8400</v>
      </c>
      <c r="E38" s="6" t="s">
        <v>65</v>
      </c>
      <c r="F38" s="8"/>
      <c r="G38" s="6"/>
      <c r="H38" s="8"/>
    </row>
    <row r="39" spans="1:8">
      <c r="A39" s="6" t="s">
        <v>66</v>
      </c>
      <c r="B39" s="8">
        <v>15000</v>
      </c>
      <c r="C39" s="6" t="s">
        <v>66</v>
      </c>
      <c r="D39" s="8">
        <v>50000</v>
      </c>
      <c r="E39" s="6" t="s">
        <v>66</v>
      </c>
      <c r="F39" s="8"/>
      <c r="G39" s="6"/>
      <c r="H39" s="8"/>
    </row>
    <row r="40" spans="1:8">
      <c r="A40" s="6" t="s">
        <v>67</v>
      </c>
      <c r="B40" s="8" t="s">
        <v>68</v>
      </c>
      <c r="C40" s="6" t="s">
        <v>67</v>
      </c>
      <c r="D40" s="8" t="s">
        <v>69</v>
      </c>
      <c r="E40" s="6" t="s">
        <v>67</v>
      </c>
      <c r="F40" s="8"/>
      <c r="G40" s="6"/>
      <c r="H40" s="8"/>
    </row>
    <row r="41" spans="1:8">
      <c r="A41" s="6"/>
      <c r="B41" s="8" t="s">
        <v>70</v>
      </c>
      <c r="C41" s="6"/>
      <c r="D41" s="8" t="s">
        <v>71</v>
      </c>
      <c r="E41" s="6"/>
      <c r="F41" s="8"/>
      <c r="G41" s="6"/>
      <c r="H41" s="8"/>
    </row>
    <row r="42" ht="168" spans="1:8">
      <c r="A42" s="6" t="s">
        <v>72</v>
      </c>
      <c r="B42" s="15" t="s">
        <v>73</v>
      </c>
      <c r="C42" s="16" t="s">
        <v>72</v>
      </c>
      <c r="D42" s="15" t="s">
        <v>74</v>
      </c>
      <c r="E42" s="6" t="s">
        <v>72</v>
      </c>
      <c r="F42" s="8"/>
      <c r="G42" s="6"/>
      <c r="H42" s="8"/>
    </row>
    <row r="43" ht="152.75" spans="1:8">
      <c r="A43" s="10" t="s">
        <v>75</v>
      </c>
      <c r="B43" s="17" t="s">
        <v>76</v>
      </c>
      <c r="C43" s="18" t="s">
        <v>75</v>
      </c>
      <c r="D43" s="17" t="s">
        <v>77</v>
      </c>
      <c r="E43" s="10" t="s">
        <v>75</v>
      </c>
      <c r="F43" s="12"/>
      <c r="G43" s="10"/>
      <c r="H43" s="12"/>
    </row>
    <row r="44" spans="1:8">
      <c r="A44" s="19" t="s">
        <v>78</v>
      </c>
      <c r="B44" s="20"/>
      <c r="C44" s="20"/>
      <c r="D44" s="20"/>
      <c r="E44" s="20"/>
      <c r="F44" s="20"/>
      <c r="G44" s="20"/>
      <c r="H44" s="32"/>
    </row>
    <row r="45" spans="1:8">
      <c r="A45" s="16"/>
      <c r="B45" s="21"/>
      <c r="C45" s="21"/>
      <c r="D45" s="21"/>
      <c r="E45" s="21"/>
      <c r="F45" s="21"/>
      <c r="G45" s="21"/>
      <c r="H45" s="15"/>
    </row>
    <row r="46" spans="1:8">
      <c r="A46" s="16"/>
      <c r="B46" s="21"/>
      <c r="C46" s="21"/>
      <c r="D46" s="21"/>
      <c r="E46" s="21"/>
      <c r="F46" s="21"/>
      <c r="G46" s="21"/>
      <c r="H46" s="15"/>
    </row>
    <row r="47" spans="1:8">
      <c r="A47" s="16"/>
      <c r="B47" s="21"/>
      <c r="C47" s="21"/>
      <c r="D47" s="21"/>
      <c r="E47" s="21"/>
      <c r="F47" s="21"/>
      <c r="G47" s="21"/>
      <c r="H47" s="15"/>
    </row>
    <row r="48" spans="1:8">
      <c r="A48" s="16"/>
      <c r="B48" s="21"/>
      <c r="C48" s="21"/>
      <c r="D48" s="21"/>
      <c r="E48" s="21"/>
      <c r="F48" s="21"/>
      <c r="G48" s="21"/>
      <c r="H48" s="15"/>
    </row>
    <row r="49" ht="17.55" spans="1:8">
      <c r="A49" s="18"/>
      <c r="B49" s="22"/>
      <c r="C49" s="22"/>
      <c r="D49" s="22"/>
      <c r="E49" s="22"/>
      <c r="F49" s="22"/>
      <c r="G49" s="22"/>
      <c r="H49" s="17"/>
    </row>
    <row r="50" ht="28.8" spans="1:8">
      <c r="A50" s="23" t="s">
        <v>79</v>
      </c>
      <c r="B50" s="24"/>
      <c r="C50" s="24"/>
      <c r="D50" s="24"/>
      <c r="E50" s="24"/>
      <c r="F50" s="24"/>
      <c r="G50" s="24"/>
      <c r="H50" s="33"/>
    </row>
    <row r="51" ht="101.6" spans="1:8">
      <c r="A51" s="25" t="s">
        <v>80</v>
      </c>
      <c r="B51" s="26"/>
      <c r="C51" s="26"/>
      <c r="D51" s="26"/>
      <c r="E51" s="34" t="s">
        <v>81</v>
      </c>
      <c r="F51" s="34"/>
      <c r="G51" s="34"/>
      <c r="H51" s="35"/>
    </row>
    <row r="52" ht="101.6" spans="1:8">
      <c r="A52" s="25" t="s">
        <v>82</v>
      </c>
      <c r="B52" s="26"/>
      <c r="C52" s="26"/>
      <c r="D52" s="26"/>
      <c r="E52" s="34" t="s">
        <v>83</v>
      </c>
      <c r="F52" s="34"/>
      <c r="G52" s="34"/>
      <c r="H52" s="35"/>
    </row>
    <row r="53" ht="21.15" spans="1:8">
      <c r="A53" s="27" t="s">
        <v>84</v>
      </c>
      <c r="B53" s="28"/>
      <c r="C53" s="28"/>
      <c r="D53" s="28"/>
      <c r="E53" s="36" t="s">
        <v>85</v>
      </c>
      <c r="F53" s="36"/>
      <c r="G53" s="36"/>
      <c r="H53" s="37"/>
    </row>
  </sheetData>
  <mergeCells count="28">
    <mergeCell ref="A1:H1"/>
    <mergeCell ref="A2:C2"/>
    <mergeCell ref="E2:G2"/>
    <mergeCell ref="A20:D20"/>
    <mergeCell ref="E20:H20"/>
    <mergeCell ref="B21:D21"/>
    <mergeCell ref="F21:H21"/>
    <mergeCell ref="B22:D22"/>
    <mergeCell ref="F22:H22"/>
    <mergeCell ref="B23:D23"/>
    <mergeCell ref="F23:H23"/>
    <mergeCell ref="A36:B36"/>
    <mergeCell ref="C36:D36"/>
    <mergeCell ref="E36:F36"/>
    <mergeCell ref="G36:H36"/>
    <mergeCell ref="A50:H50"/>
    <mergeCell ref="A51:D51"/>
    <mergeCell ref="E51:H51"/>
    <mergeCell ref="A52:D52"/>
    <mergeCell ref="E52:H52"/>
    <mergeCell ref="A53:D53"/>
    <mergeCell ref="E53:H53"/>
    <mergeCell ref="A40:A41"/>
    <mergeCell ref="C40:C41"/>
    <mergeCell ref="E40:E41"/>
    <mergeCell ref="A32:H33"/>
    <mergeCell ref="A34:H35"/>
    <mergeCell ref="A44:H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liyaweimacbook</dc:creator>
  <cp:lastModifiedBy>HG李亚威</cp:lastModifiedBy>
  <dcterms:created xsi:type="dcterms:W3CDTF">2025-12-31T16:45:06Z</dcterms:created>
  <dcterms:modified xsi:type="dcterms:W3CDTF">2025-12-31T16:46:56Z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5ABD2B183DED5EDE92E254695BF8D1CD_41</vt:lpwstr>
  </property>
  <property fmtid="{D5CDD505-2E9C-101B-9397-08002B2CF9AE}" pid="3" name="KSOProductBuildVer">
    <vt:lpwstr>2052-12.1.22218.22218</vt:lpwstr>
  </property>
</Properties>
</file>